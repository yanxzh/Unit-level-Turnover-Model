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2978\Desktop\Unit-level-Turnover-Model-main\1_SenScenario\input\"/>
    </mc:Choice>
  </mc:AlternateContent>
  <xr:revisionPtr revIDLastSave="0" documentId="13_ncr:1_{DFA2139B-FCA9-4612-88F8-815F52D1EDE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Readme" sheetId="1" r:id="rId1"/>
    <sheet name="Combine_EmissionTrend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U2" i="5"/>
  <c r="V2" i="5"/>
  <c r="W2" i="5"/>
  <c r="X2" i="5"/>
  <c r="Y2" i="5"/>
  <c r="Z2" i="5"/>
  <c r="AA2" i="5"/>
  <c r="AB2" i="5"/>
  <c r="AC2" i="5"/>
  <c r="AD2" i="5"/>
  <c r="T2" i="5"/>
  <c r="Q2" i="5"/>
  <c r="R2" i="5"/>
  <c r="S2" i="5"/>
  <c r="P2" i="5"/>
  <c r="O2" i="5"/>
  <c r="L2" i="5"/>
  <c r="M2" i="5"/>
  <c r="N2" i="5"/>
  <c r="K2" i="5"/>
  <c r="J2" i="5"/>
  <c r="B2" i="5"/>
  <c r="C2" i="5"/>
  <c r="D2" i="5"/>
  <c r="E2" i="5"/>
  <c r="F2" i="5"/>
  <c r="G2" i="5"/>
  <c r="H2" i="5"/>
  <c r="I2" i="5"/>
</calcChain>
</file>

<file path=xl/sharedStrings.xml><?xml version="1.0" encoding="utf-8"?>
<sst xmlns="http://schemas.openxmlformats.org/spreadsheetml/2006/main" count="24" uniqueCount="12">
  <si>
    <t>IEA World Energy Outlook 2024</t>
  </si>
  <si>
    <t>WEO2024_Free_DataSet</t>
    <phoneticPr fontId="1" type="noConversion"/>
  </si>
  <si>
    <t>Coal</t>
  </si>
  <si>
    <t>Oil</t>
  </si>
  <si>
    <t>Natural gas</t>
  </si>
  <si>
    <t>Bioenergy and waste</t>
  </si>
  <si>
    <t>Electricity and heat sectors</t>
  </si>
  <si>
    <t>Stated Policies (Mt CO₂)</t>
  </si>
  <si>
    <t>Net Zero Emissions by 2050 (Mt CO₂)</t>
  </si>
  <si>
    <t>Announced Pledges (Mt CO₂)</t>
  </si>
  <si>
    <t>Sector</t>
    <phoneticPr fontId="1" type="noConversion"/>
  </si>
  <si>
    <t>Gas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</si>
</sst>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 #\ ##0\ \ \ \ \ ;\-#\ ##0\ \ \ \ \ ;\-\ \ \ \ \ "/>
    <numFmt numFmtId="177" formatCode="0.00_);[Red]\(0.00\)"/>
    <numFmt numFmtId="178" formatCode="0_);[Red]\(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color rgb="FF2C95AB"/>
      <name val="Aptos Narrow"/>
      <family val="2"/>
    </font>
    <font>
      <b/>
      <sz val="9"/>
      <color theme="0"/>
      <name val="Aptos Narrow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BF4EB"/>
        <bgColor indexed="64"/>
      </patternFill>
    </fill>
    <fill>
      <patternFill patternType="solid">
        <fgColor rgb="FF26AA5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2C95AB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3" fillId="2" borderId="0" xfId="1" applyFont="1" applyFill="1" applyAlignment="1">
      <alignment horizontal="left" vertical="center"/>
    </xf>
    <xf numFmtId="176" fontId="3" fillId="2" borderId="0" xfId="1" applyNumberFormat="1" applyFont="1" applyFill="1" applyAlignment="1">
      <alignment horizontal="right" vertical="center"/>
    </xf>
    <xf numFmtId="176" fontId="4" fillId="3" borderId="0" xfId="1" applyNumberFormat="1" applyFont="1" applyFill="1" applyAlignment="1">
      <alignment horizontal="right" vertical="center"/>
    </xf>
    <xf numFmtId="0" fontId="5" fillId="3" borderId="1" xfId="1" applyFont="1" applyFill="1" applyBorder="1" applyAlignment="1">
      <alignment horizontal="left" vertical="center" wrapText="1"/>
    </xf>
    <xf numFmtId="1" fontId="6" fillId="4" borderId="0" xfId="1" applyNumberFormat="1" applyFont="1" applyFill="1" applyAlignment="1">
      <alignment horizontal="center" vertical="center"/>
    </xf>
    <xf numFmtId="1" fontId="6" fillId="4" borderId="2" xfId="1" applyNumberFormat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Continuous" vertical="center"/>
    </xf>
    <xf numFmtId="1" fontId="6" fillId="4" borderId="0" xfId="1" applyNumberFormat="1" applyFont="1" applyFill="1" applyAlignment="1">
      <alignment horizontal="centerContinuous" vertical="center"/>
    </xf>
    <xf numFmtId="176" fontId="4" fillId="5" borderId="0" xfId="1" applyNumberFormat="1" applyFont="1" applyFill="1" applyAlignment="1">
      <alignment horizontal="right" vertical="center"/>
    </xf>
    <xf numFmtId="0" fontId="6" fillId="6" borderId="0" xfId="1" applyFont="1" applyFill="1" applyAlignment="1">
      <alignment horizontal="centerContinuous" vertical="center"/>
    </xf>
    <xf numFmtId="1" fontId="6" fillId="6" borderId="0" xfId="1" applyNumberFormat="1" applyFont="1" applyFill="1" applyAlignment="1">
      <alignment horizontal="centerContinuous" vertical="center"/>
    </xf>
    <xf numFmtId="0" fontId="6" fillId="7" borderId="0" xfId="1" applyFont="1" applyFill="1" applyAlignment="1">
      <alignment horizontal="centerContinuous" vertical="center"/>
    </xf>
    <xf numFmtId="1" fontId="6" fillId="7" borderId="0" xfId="1" applyNumberFormat="1" applyFont="1" applyFill="1" applyAlignment="1">
      <alignment horizontal="centerContinuous" vertical="center"/>
    </xf>
    <xf numFmtId="176" fontId="4" fillId="8" borderId="0" xfId="1" applyNumberFormat="1" applyFont="1" applyFill="1" applyAlignment="1">
      <alignment horizontal="right" vertical="center"/>
    </xf>
    <xf numFmtId="176" fontId="4" fillId="8" borderId="3" xfId="1" applyNumberFormat="1" applyFont="1" applyFill="1" applyBorder="1" applyAlignment="1">
      <alignment horizontal="right" vertical="center"/>
    </xf>
    <xf numFmtId="176" fontId="3" fillId="2" borderId="3" xfId="1" applyNumberFormat="1" applyFont="1" applyFill="1" applyBorder="1" applyAlignment="1">
      <alignment horizontal="right" vertical="center"/>
    </xf>
    <xf numFmtId="177" fontId="7" fillId="0" borderId="4" xfId="0" applyNumberFormat="1" applyFont="1" applyBorder="1"/>
    <xf numFmtId="178" fontId="7" fillId="0" borderId="4" xfId="0" applyNumberFormat="1" applyFont="1" applyBorder="1"/>
    <xf numFmtId="177" fontId="2" fillId="2" borderId="4" xfId="1" applyNumberFormat="1" applyFill="1" applyBorder="1" applyAlignment="1">
      <alignment horizontal="left" vertical="center"/>
    </xf>
  </cellXfs>
  <cellStyles count="2">
    <cellStyle name="Normal 2" xfId="1" xr:uid="{578C1462-E545-4516-926B-FD7D880D493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341780</xdr:colOff>
      <xdr:row>1</xdr:row>
      <xdr:rowOff>33617</xdr:rowOff>
    </xdr:from>
    <xdr:to>
      <xdr:col>17</xdr:col>
      <xdr:colOff>279123</xdr:colOff>
      <xdr:row>24</xdr:row>
      <xdr:rowOff>149403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A7C975E-A56C-D621-3EB0-A605078E9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6442" y="207309"/>
          <a:ext cx="5786814" cy="4110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="85" zoomScaleNormal="85" workbookViewId="0">
      <selection activeCell="H27" sqref="H27"/>
    </sheetView>
  </sheetViews>
  <sheetFormatPr defaultRowHeight="13.9" x14ac:dyDescent="0.4"/>
  <cols>
    <col min="1" max="1" width="28.59765625" bestFit="1" customWidth="1"/>
  </cols>
  <sheetData>
    <row r="1" spans="1:8" x14ac:dyDescent="0.4">
      <c r="A1" t="s">
        <v>0</v>
      </c>
    </row>
    <row r="3" spans="1:8" x14ac:dyDescent="0.4">
      <c r="A3" t="s">
        <v>1</v>
      </c>
    </row>
    <row r="6" spans="1:8" x14ac:dyDescent="0.4">
      <c r="B6" s="7"/>
      <c r="C6" s="8" t="s">
        <v>7</v>
      </c>
      <c r="D6" s="7"/>
      <c r="E6" s="7"/>
      <c r="F6" s="7"/>
    </row>
    <row r="7" spans="1:8" x14ac:dyDescent="0.4">
      <c r="A7" s="4" t="s">
        <v>6</v>
      </c>
      <c r="B7" s="5">
        <v>2023</v>
      </c>
      <c r="C7" s="6">
        <v>2030</v>
      </c>
      <c r="D7" s="6">
        <v>2035</v>
      </c>
      <c r="E7" s="6">
        <v>2040</v>
      </c>
      <c r="F7" s="6">
        <v>2050</v>
      </c>
    </row>
    <row r="8" spans="1:8" x14ac:dyDescent="0.4">
      <c r="A8" s="1" t="s">
        <v>2</v>
      </c>
      <c r="B8" s="3">
        <v>11269.26</v>
      </c>
      <c r="C8" s="2">
        <v>9607.4</v>
      </c>
      <c r="D8" s="2">
        <v>7460</v>
      </c>
      <c r="E8" s="2">
        <v>6133.64</v>
      </c>
      <c r="F8" s="2">
        <v>4582.8</v>
      </c>
      <c r="G8" s="2"/>
      <c r="H8" s="2"/>
    </row>
    <row r="9" spans="1:8" x14ac:dyDescent="0.4">
      <c r="A9" s="1" t="s">
        <v>3</v>
      </c>
      <c r="B9" s="3">
        <v>638.01</v>
      </c>
      <c r="C9" s="2">
        <v>332.84</v>
      </c>
      <c r="D9" s="2">
        <v>262.14</v>
      </c>
      <c r="E9" s="2">
        <v>199.28</v>
      </c>
      <c r="F9" s="2">
        <v>116.97</v>
      </c>
      <c r="G9" s="2"/>
      <c r="H9" s="2"/>
    </row>
    <row r="10" spans="1:8" x14ac:dyDescent="0.4">
      <c r="A10" s="1" t="s">
        <v>4</v>
      </c>
      <c r="B10" s="3">
        <v>3211.38</v>
      </c>
      <c r="C10" s="2">
        <v>3239.38</v>
      </c>
      <c r="D10" s="2">
        <v>3125.81</v>
      </c>
      <c r="E10" s="2">
        <v>3012.25</v>
      </c>
      <c r="F10" s="2">
        <v>2929.12</v>
      </c>
      <c r="G10" s="2"/>
      <c r="H10" s="2"/>
    </row>
    <row r="11" spans="1:8" x14ac:dyDescent="0.4">
      <c r="A11" s="1" t="s">
        <v>5</v>
      </c>
      <c r="B11" s="3">
        <v>143.58000000000001</v>
      </c>
      <c r="C11" s="2">
        <v>131.13</v>
      </c>
      <c r="D11" s="2">
        <v>120.04</v>
      </c>
      <c r="E11" s="2">
        <v>124.04</v>
      </c>
      <c r="F11" s="2">
        <v>127.94</v>
      </c>
      <c r="G11" s="2"/>
      <c r="H11" s="2"/>
    </row>
    <row r="13" spans="1:8" x14ac:dyDescent="0.4">
      <c r="A13" s="4" t="s">
        <v>6</v>
      </c>
      <c r="B13" s="12"/>
      <c r="C13" s="13" t="s">
        <v>9</v>
      </c>
      <c r="D13" s="12"/>
      <c r="E13" s="12"/>
      <c r="F13" s="12"/>
    </row>
    <row r="14" spans="1:8" x14ac:dyDescent="0.4">
      <c r="A14" s="1" t="s">
        <v>2</v>
      </c>
      <c r="B14" s="14">
        <v>11269.26</v>
      </c>
      <c r="C14" s="2">
        <v>8425.1</v>
      </c>
      <c r="D14" s="2">
        <v>4916.83</v>
      </c>
      <c r="E14" s="2">
        <v>2830.72</v>
      </c>
      <c r="F14" s="2">
        <v>1329.7</v>
      </c>
    </row>
    <row r="15" spans="1:8" x14ac:dyDescent="0.4">
      <c r="A15" s="1" t="s">
        <v>3</v>
      </c>
      <c r="B15" s="14">
        <v>638.01</v>
      </c>
      <c r="C15" s="2">
        <v>266.82</v>
      </c>
      <c r="D15" s="2">
        <v>181.72</v>
      </c>
      <c r="E15" s="2">
        <v>122.39</v>
      </c>
      <c r="F15" s="2">
        <v>65.77</v>
      </c>
    </row>
    <row r="16" spans="1:8" x14ac:dyDescent="0.4">
      <c r="A16" s="1" t="s">
        <v>4</v>
      </c>
      <c r="B16" s="14">
        <v>3211.38</v>
      </c>
      <c r="C16" s="2">
        <v>2964.56</v>
      </c>
      <c r="D16" s="2">
        <v>2436.61</v>
      </c>
      <c r="E16" s="2">
        <v>2052.65</v>
      </c>
      <c r="F16" s="2">
        <v>1460.59</v>
      </c>
    </row>
    <row r="17" spans="1:6" x14ac:dyDescent="0.4">
      <c r="A17" s="1" t="s">
        <v>5</v>
      </c>
      <c r="B17" s="15">
        <v>143.58000000000001</v>
      </c>
      <c r="C17" s="16">
        <v>103.74</v>
      </c>
      <c r="D17" s="16">
        <v>-19.399999999999999</v>
      </c>
      <c r="E17" s="16">
        <v>-111.71</v>
      </c>
      <c r="F17" s="16">
        <v>-216.41</v>
      </c>
    </row>
    <row r="19" spans="1:6" x14ac:dyDescent="0.4">
      <c r="A19" s="4" t="s">
        <v>6</v>
      </c>
      <c r="B19" s="10"/>
      <c r="C19" s="11" t="s">
        <v>8</v>
      </c>
      <c r="D19" s="10"/>
      <c r="E19" s="10"/>
      <c r="F19" s="10"/>
    </row>
    <row r="20" spans="1:6" x14ac:dyDescent="0.4">
      <c r="A20" s="1" t="s">
        <v>2</v>
      </c>
      <c r="B20" s="9">
        <v>11269.26</v>
      </c>
      <c r="C20" s="2">
        <v>5645.52</v>
      </c>
      <c r="D20" s="2">
        <v>1709.4</v>
      </c>
      <c r="E20" s="2">
        <v>34.840000000000003</v>
      </c>
      <c r="F20" s="2">
        <v>19.78</v>
      </c>
    </row>
    <row r="21" spans="1:6" x14ac:dyDescent="0.4">
      <c r="A21" s="1" t="s">
        <v>3</v>
      </c>
      <c r="B21" s="9">
        <v>638.01</v>
      </c>
      <c r="C21" s="2">
        <v>168.68</v>
      </c>
      <c r="D21" s="2">
        <v>65.92</v>
      </c>
      <c r="E21" s="2">
        <v>18.03</v>
      </c>
      <c r="F21" s="2">
        <v>0.23</v>
      </c>
    </row>
    <row r="22" spans="1:6" x14ac:dyDescent="0.4">
      <c r="A22" s="1" t="s">
        <v>4</v>
      </c>
      <c r="B22" s="9">
        <v>3211.38</v>
      </c>
      <c r="C22" s="2">
        <v>2991.74</v>
      </c>
      <c r="D22" s="2">
        <v>1441.92</v>
      </c>
      <c r="E22" s="2">
        <v>634.72</v>
      </c>
      <c r="F22" s="2">
        <v>111.31</v>
      </c>
    </row>
    <row r="23" spans="1:6" x14ac:dyDescent="0.4">
      <c r="A23" s="1" t="s">
        <v>5</v>
      </c>
      <c r="B23" s="9">
        <v>143.58000000000001</v>
      </c>
      <c r="C23" s="2">
        <v>54.92</v>
      </c>
      <c r="D23" s="2">
        <v>-162.9</v>
      </c>
      <c r="E23" s="2">
        <v>-303.63</v>
      </c>
      <c r="F23" s="2">
        <v>-430.32</v>
      </c>
    </row>
    <row r="24" spans="1:6" x14ac:dyDescent="0.4">
      <c r="B24" s="9"/>
      <c r="C24" s="2"/>
      <c r="D24" s="2"/>
      <c r="E24" s="2"/>
      <c r="F24" s="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D3A9-1D04-4874-BE34-6084BC8A755C}">
  <dimension ref="A1:AD4"/>
  <sheetViews>
    <sheetView workbookViewId="0">
      <selection activeCell="V4" sqref="V4"/>
    </sheetView>
  </sheetViews>
  <sheetFormatPr defaultRowHeight="13.9" x14ac:dyDescent="0.4"/>
  <sheetData>
    <row r="1" spans="1:30" x14ac:dyDescent="0.4">
      <c r="A1" s="17" t="s">
        <v>10</v>
      </c>
      <c r="B1" s="18">
        <v>2022</v>
      </c>
      <c r="C1" s="18">
        <v>2023</v>
      </c>
      <c r="D1" s="18">
        <v>2024</v>
      </c>
      <c r="E1" s="18">
        <v>2025</v>
      </c>
      <c r="F1" s="18">
        <v>2026</v>
      </c>
      <c r="G1" s="18">
        <v>2027</v>
      </c>
      <c r="H1" s="18">
        <v>2028</v>
      </c>
      <c r="I1" s="18">
        <v>2029</v>
      </c>
      <c r="J1" s="18">
        <v>2030</v>
      </c>
      <c r="K1" s="18">
        <v>2031</v>
      </c>
      <c r="L1" s="18">
        <v>2032</v>
      </c>
      <c r="M1" s="18">
        <v>2033</v>
      </c>
      <c r="N1" s="18">
        <v>2034</v>
      </c>
      <c r="O1" s="18">
        <v>2035</v>
      </c>
      <c r="P1" s="18">
        <v>2036</v>
      </c>
      <c r="Q1" s="18">
        <v>2037</v>
      </c>
      <c r="R1" s="18">
        <v>2038</v>
      </c>
      <c r="S1" s="18">
        <v>2039</v>
      </c>
      <c r="T1" s="18">
        <v>2040</v>
      </c>
      <c r="U1" s="18">
        <v>2041</v>
      </c>
      <c r="V1" s="18">
        <v>2042</v>
      </c>
      <c r="W1" s="18">
        <v>2043</v>
      </c>
      <c r="X1" s="18">
        <v>2044</v>
      </c>
      <c r="Y1" s="18">
        <v>2045</v>
      </c>
      <c r="Z1" s="18">
        <v>2046</v>
      </c>
      <c r="AA1" s="18">
        <v>2047</v>
      </c>
      <c r="AB1" s="18">
        <v>2048</v>
      </c>
      <c r="AC1" s="18">
        <v>2049</v>
      </c>
      <c r="AD1" s="18">
        <v>2050</v>
      </c>
    </row>
    <row r="2" spans="1:30" x14ac:dyDescent="0.4">
      <c r="A2" s="19" t="s">
        <v>2</v>
      </c>
      <c r="B2" s="19">
        <f>1-(((Readme!$C14+Readme!$C20)/2)/((Readme!$B14+Readme!$B20)/2))^(1/(2030-2023))</f>
        <v>6.5090244784732354E-2</v>
      </c>
      <c r="C2" s="19">
        <f>1-(((Readme!$C14+Readme!$C20)/2)/((Readme!$B14+Readme!$B20)/2))^(1/(2030-2023))</f>
        <v>6.5090244784732354E-2</v>
      </c>
      <c r="D2" s="19">
        <f>1-(((Readme!$C14+Readme!$C20)/2)/((Readme!$B14+Readme!$B20)/2))^(1/(2030-2023))</f>
        <v>6.5090244784732354E-2</v>
      </c>
      <c r="E2" s="19">
        <f>1-(((Readme!$C14+Readme!$C20)/2)/((Readme!$B14+Readme!$B20)/2))^(1/(2030-2023))</f>
        <v>6.5090244784732354E-2</v>
      </c>
      <c r="F2" s="19">
        <f>1-(((Readme!$C14+Readme!$C20)/2)/((Readme!$B14+Readme!$B20)/2))^(1/(2030-2023))</f>
        <v>6.5090244784732354E-2</v>
      </c>
      <c r="G2" s="19">
        <f>1-(((Readme!$C14+Readme!$C20)/2)/((Readme!$B14+Readme!$B20)/2))^(1/(2030-2023))</f>
        <v>6.5090244784732354E-2</v>
      </c>
      <c r="H2" s="19">
        <f>1-(((Readme!$C14+Readme!$C20)/2)/((Readme!$B14+Readme!$B20)/2))^(1/(2030-2023))</f>
        <v>6.5090244784732354E-2</v>
      </c>
      <c r="I2" s="19">
        <f>1-(((Readme!$C14+Readme!$C20)/2)/((Readme!$B14+Readme!$B20)/2))^(1/(2030-2023))</f>
        <v>6.5090244784732354E-2</v>
      </c>
      <c r="J2" s="19">
        <f>1-(((Readme!$C14+Readme!$C20)/2)/((Readme!$B14+Readme!$B20)/2))^(1/(2030-2023))</f>
        <v>6.5090244784732354E-2</v>
      </c>
      <c r="K2" s="19">
        <f>1-(((Readme!$D14+Readme!$D20)/2)/((Readme!$C14+Readme!$C20)/2))^(1/(2035-2030))</f>
        <v>0.13981739777565982</v>
      </c>
      <c r="L2" s="19">
        <f>1-(((Readme!$D14+Readme!$D20)/2)/((Readme!$C14+Readme!$C20)/2))^(1/(2035-2030))</f>
        <v>0.13981739777565982</v>
      </c>
      <c r="M2" s="19">
        <f>1-(((Readme!$D14+Readme!$D20)/2)/((Readme!$C14+Readme!$C20)/2))^(1/(2035-2030))</f>
        <v>0.13981739777565982</v>
      </c>
      <c r="N2" s="19">
        <f>1-(((Readme!$D14+Readme!$D20)/2)/((Readme!$C14+Readme!$C20)/2))^(1/(2035-2030))</f>
        <v>0.13981739777565982</v>
      </c>
      <c r="O2" s="19">
        <f>1-(((Readme!$D14+Readme!$D20)/2)/((Readme!$C14+Readme!$C20)/2))^(1/(2035-2030))</f>
        <v>0.13981739777565982</v>
      </c>
      <c r="P2" s="19">
        <f>1-(((Readme!$E14+Readme!$E20)/2)/((Readme!$D14+Readme!$D20)/2))^(1/(2040-2035))</f>
        <v>0.15435399799743177</v>
      </c>
      <c r="Q2" s="19">
        <f>1-(((Readme!$E14+Readme!$E20)/2)/((Readme!$D14+Readme!$D20)/2))^(1/(2040-2035))</f>
        <v>0.15435399799743177</v>
      </c>
      <c r="R2" s="19">
        <f>1-(((Readme!$E14+Readme!$E20)/2)/((Readme!$D14+Readme!$D20)/2))^(1/(2040-2035))</f>
        <v>0.15435399799743177</v>
      </c>
      <c r="S2" s="19">
        <f>1-(((Readme!$E14+Readme!$E20)/2)/((Readme!$D14+Readme!$D20)/2))^(1/(2040-2035))</f>
        <v>0.15435399799743177</v>
      </c>
      <c r="T2" s="19">
        <f>1-(((Readme!$E14+Readme!$E20)/2)/((Readme!$D14+Readme!$D20)/2))^(1/(2040-2035))</f>
        <v>0.15435399799743177</v>
      </c>
      <c r="U2" s="19">
        <f>1-(((Readme!$F14+Readme!$F20)/2)/((Readme!$E14+Readme!$E20)/2))^(1/(2050-2040))</f>
        <v>7.2538918518930018E-2</v>
      </c>
      <c r="V2" s="19">
        <f>1-(((Readme!$F14+Readme!$F20)/2)/((Readme!$E14+Readme!$E20)/2))^(1/(2050-2040))</f>
        <v>7.2538918518930018E-2</v>
      </c>
      <c r="W2" s="19">
        <f>1-(((Readme!$F14+Readme!$F20)/2)/((Readme!$E14+Readme!$E20)/2))^(1/(2050-2040))</f>
        <v>7.2538918518930018E-2</v>
      </c>
      <c r="X2" s="19">
        <f>1-(((Readme!$F14+Readme!$F20)/2)/((Readme!$E14+Readme!$E20)/2))^(1/(2050-2040))</f>
        <v>7.2538918518930018E-2</v>
      </c>
      <c r="Y2" s="19">
        <f>1-(((Readme!$F14+Readme!$F20)/2)/((Readme!$E14+Readme!$E20)/2))^(1/(2050-2040))</f>
        <v>7.2538918518930018E-2</v>
      </c>
      <c r="Z2" s="19">
        <f>1-(((Readme!$F14+Readme!$F20)/2)/((Readme!$E14+Readme!$E20)/2))^(1/(2050-2040))</f>
        <v>7.2538918518930018E-2</v>
      </c>
      <c r="AA2" s="19">
        <f>1-(((Readme!$F14+Readme!$F20)/2)/((Readme!$E14+Readme!$E20)/2))^(1/(2050-2040))</f>
        <v>7.2538918518930018E-2</v>
      </c>
      <c r="AB2" s="19">
        <f>1-(((Readme!$F14+Readme!$F20)/2)/((Readme!$E14+Readme!$E20)/2))^(1/(2050-2040))</f>
        <v>7.2538918518930018E-2</v>
      </c>
      <c r="AC2" s="19">
        <f>1-(((Readme!$F14+Readme!$F20)/2)/((Readme!$E14+Readme!$E20)/2))^(1/(2050-2040))</f>
        <v>7.2538918518930018E-2</v>
      </c>
      <c r="AD2" s="19">
        <f>1-(((Readme!$F14+Readme!$F20)/2)/((Readme!$E14+Readme!$E20)/2))^(1/(2050-2040))</f>
        <v>7.2538918518930018E-2</v>
      </c>
    </row>
    <row r="3" spans="1:30" x14ac:dyDescent="0.4">
      <c r="A3" s="19" t="s">
        <v>3</v>
      </c>
      <c r="B3" s="19">
        <f>1-(((Readme!$C15+Readme!$C21)/2)/((Readme!$B15+Readme!$B21)/2))^(1/(2030-2023))</f>
        <v>0.14236127490967865</v>
      </c>
      <c r="C3" s="19">
        <f>1-(((Readme!$C15+Readme!$C21)/2)/((Readme!$B15+Readme!$B21)/2))^(1/(2030-2023))</f>
        <v>0.14236127490967865</v>
      </c>
      <c r="D3" s="19">
        <f>1-(((Readme!$C15+Readme!$C21)/2)/((Readme!$B15+Readme!$B21)/2))^(1/(2030-2023))</f>
        <v>0.14236127490967865</v>
      </c>
      <c r="E3" s="19">
        <f>1-(((Readme!$C15+Readme!$C21)/2)/((Readme!$B15+Readme!$B21)/2))^(1/(2030-2023))</f>
        <v>0.14236127490967865</v>
      </c>
      <c r="F3" s="19">
        <f>1-(((Readme!$C15+Readme!$C21)/2)/((Readme!$B15+Readme!$B21)/2))^(1/(2030-2023))</f>
        <v>0.14236127490967865</v>
      </c>
      <c r="G3" s="19">
        <f>1-(((Readme!$C15+Readme!$C21)/2)/((Readme!$B15+Readme!$B21)/2))^(1/(2030-2023))</f>
        <v>0.14236127490967865</v>
      </c>
      <c r="H3" s="19">
        <f>1-(((Readme!$C15+Readme!$C21)/2)/((Readme!$B15+Readme!$B21)/2))^(1/(2030-2023))</f>
        <v>0.14236127490967865</v>
      </c>
      <c r="I3" s="19">
        <f>1-(((Readme!$C15+Readme!$C21)/2)/((Readme!$B15+Readme!$B21)/2))^(1/(2030-2023))</f>
        <v>0.14236127490967865</v>
      </c>
      <c r="J3" s="19">
        <f>1-(((Readme!$C15+Readme!$C21)/2)/((Readme!$B15+Readme!$B21)/2))^(1/(2030-2023))</f>
        <v>0.14236127490967865</v>
      </c>
      <c r="K3" s="19">
        <f>1-(((Readme!$D15+Readme!$D21)/2)/((Readme!$C15+Readme!$C21)/2))^(1/(2035-2030))</f>
        <v>0.10676336421495902</v>
      </c>
      <c r="L3" s="19">
        <f>1-(((Readme!$D15+Readme!$D21)/2)/((Readme!$C15+Readme!$C21)/2))^(1/(2035-2030))</f>
        <v>0.10676336421495902</v>
      </c>
      <c r="M3" s="19">
        <f>1-(((Readme!$D15+Readme!$D21)/2)/((Readme!$C15+Readme!$C21)/2))^(1/(2035-2030))</f>
        <v>0.10676336421495902</v>
      </c>
      <c r="N3" s="19">
        <f>1-(((Readme!$D15+Readme!$D21)/2)/((Readme!$C15+Readme!$C21)/2))^(1/(2035-2030))</f>
        <v>0.10676336421495902</v>
      </c>
      <c r="O3" s="19">
        <f>1-(((Readme!$D15+Readme!$D21)/2)/((Readme!$C15+Readme!$C21)/2))^(1/(2035-2030))</f>
        <v>0.10676336421495902</v>
      </c>
      <c r="P3" s="19">
        <f>1-(((Readme!$E15+Readme!$E21)/2)/((Readme!$D15+Readme!$D21)/2))^(1/(2040-2035))</f>
        <v>0.10726690576169406</v>
      </c>
      <c r="Q3" s="19">
        <f>1-(((Readme!$E15+Readme!$E21)/2)/((Readme!$D15+Readme!$D21)/2))^(1/(2040-2035))</f>
        <v>0.10726690576169406</v>
      </c>
      <c r="R3" s="19">
        <f>1-(((Readme!$E15+Readme!$E21)/2)/((Readme!$D15+Readme!$D21)/2))^(1/(2040-2035))</f>
        <v>0.10726690576169406</v>
      </c>
      <c r="S3" s="19">
        <f>1-(((Readme!$E15+Readme!$E21)/2)/((Readme!$D15+Readme!$D21)/2))^(1/(2040-2035))</f>
        <v>0.10726690576169406</v>
      </c>
      <c r="T3" s="19">
        <f>1-(((Readme!$E15+Readme!$E21)/2)/((Readme!$D15+Readme!$D21)/2))^(1/(2040-2035))</f>
        <v>0.10726690576169406</v>
      </c>
      <c r="U3" s="19">
        <f>1-(((Readme!$F15+Readme!$F21)/2)/((Readme!$E15+Readme!$E21)/2))^(1/(2050-2040))</f>
        <v>7.2718710666911934E-2</v>
      </c>
      <c r="V3" s="19">
        <f>1-(((Readme!$F15+Readme!$F21)/2)/((Readme!$E15+Readme!$E21)/2))^(1/(2050-2040))</f>
        <v>7.2718710666911934E-2</v>
      </c>
      <c r="W3" s="19">
        <f>1-(((Readme!$F15+Readme!$F21)/2)/((Readme!$E15+Readme!$E21)/2))^(1/(2050-2040))</f>
        <v>7.2718710666911934E-2</v>
      </c>
      <c r="X3" s="19">
        <f>1-(((Readme!$F15+Readme!$F21)/2)/((Readme!$E15+Readme!$E21)/2))^(1/(2050-2040))</f>
        <v>7.2718710666911934E-2</v>
      </c>
      <c r="Y3" s="19">
        <f>1-(((Readme!$F15+Readme!$F21)/2)/((Readme!$E15+Readme!$E21)/2))^(1/(2050-2040))</f>
        <v>7.2718710666911934E-2</v>
      </c>
      <c r="Z3" s="19">
        <f>1-(((Readme!$F15+Readme!$F21)/2)/((Readme!$E15+Readme!$E21)/2))^(1/(2050-2040))</f>
        <v>7.2718710666911934E-2</v>
      </c>
      <c r="AA3" s="19">
        <f>1-(((Readme!$F15+Readme!$F21)/2)/((Readme!$E15+Readme!$E21)/2))^(1/(2050-2040))</f>
        <v>7.2718710666911934E-2</v>
      </c>
      <c r="AB3" s="19">
        <f>1-(((Readme!$F15+Readme!$F21)/2)/((Readme!$E15+Readme!$E21)/2))^(1/(2050-2040))</f>
        <v>7.2718710666911934E-2</v>
      </c>
      <c r="AC3" s="19">
        <f>1-(((Readme!$F15+Readme!$F21)/2)/((Readme!$E15+Readme!$E21)/2))^(1/(2050-2040))</f>
        <v>7.2718710666911934E-2</v>
      </c>
      <c r="AD3" s="19">
        <f>1-(((Readme!$F15+Readme!$F21)/2)/((Readme!$E15+Readme!$E21)/2))^(1/(2050-2040))</f>
        <v>7.2718710666911934E-2</v>
      </c>
    </row>
    <row r="4" spans="1:30" x14ac:dyDescent="0.4">
      <c r="A4" s="19" t="s">
        <v>11</v>
      </c>
      <c r="B4" s="19">
        <f>1-(((Readme!$C16+Readme!$C22)/2)/((Readme!$B16+Readme!$B22)/2))^(1/(2030-2023))</f>
        <v>1.0713405257878561E-2</v>
      </c>
      <c r="C4" s="19">
        <f>1-(((Readme!$C16+Readme!$C22)/2)/((Readme!$B16+Readme!$B22)/2))^(1/(2030-2023))</f>
        <v>1.0713405257878561E-2</v>
      </c>
      <c r="D4" s="19">
        <f>1-(((Readme!$C16+Readme!$C22)/2)/((Readme!$B16+Readme!$B22)/2))^(1/(2030-2023))</f>
        <v>1.0713405257878561E-2</v>
      </c>
      <c r="E4" s="19">
        <f>1-(((Readme!$C16+Readme!$C22)/2)/((Readme!$B16+Readme!$B22)/2))^(1/(2030-2023))</f>
        <v>1.0713405257878561E-2</v>
      </c>
      <c r="F4" s="19">
        <f>1-(((Readme!$C16+Readme!$C22)/2)/((Readme!$B16+Readme!$B22)/2))^(1/(2030-2023))</f>
        <v>1.0713405257878561E-2</v>
      </c>
      <c r="G4" s="19">
        <f>1-(((Readme!$C16+Readme!$C22)/2)/((Readme!$B16+Readme!$B22)/2))^(1/(2030-2023))</f>
        <v>1.0713405257878561E-2</v>
      </c>
      <c r="H4" s="19">
        <f>1-(((Readme!$C16+Readme!$C22)/2)/((Readme!$B16+Readme!$B22)/2))^(1/(2030-2023))</f>
        <v>1.0713405257878561E-2</v>
      </c>
      <c r="I4" s="19">
        <f>1-(((Readme!$C16+Readme!$C22)/2)/((Readme!$B16+Readme!$B22)/2))^(1/(2030-2023))</f>
        <v>1.0713405257878561E-2</v>
      </c>
      <c r="J4" s="19">
        <f>1-(((Readme!$C16+Readme!$C22)/2)/((Readme!$B16+Readme!$B22)/2))^(1/(2030-2023))</f>
        <v>1.0713405257878561E-2</v>
      </c>
      <c r="K4" s="19">
        <f>1-(((Readme!$D16+Readme!$D22)/2)/((Readme!$C16+Readme!$C22)/2))^(1/(2035-2030))</f>
        <v>8.2220995711270062E-2</v>
      </c>
      <c r="L4" s="19">
        <f>1-(((Readme!$D16+Readme!$D22)/2)/((Readme!$C16+Readme!$C22)/2))^(1/(2035-2030))</f>
        <v>8.2220995711270062E-2</v>
      </c>
      <c r="M4" s="19">
        <f>1-(((Readme!$D16+Readme!$D22)/2)/((Readme!$C16+Readme!$C22)/2))^(1/(2035-2030))</f>
        <v>8.2220995711270062E-2</v>
      </c>
      <c r="N4" s="19">
        <f>1-(((Readme!$D16+Readme!$D22)/2)/((Readme!$C16+Readme!$C22)/2))^(1/(2035-2030))</f>
        <v>8.2220995711270062E-2</v>
      </c>
      <c r="O4" s="19">
        <f>1-(((Readme!$D16+Readme!$D22)/2)/((Readme!$C16+Readme!$C22)/2))^(1/(2035-2030))</f>
        <v>8.2220995711270062E-2</v>
      </c>
      <c r="P4" s="19">
        <f>1-(((Readme!$E16+Readme!$E22)/2)/((Readme!$D16+Readme!$D22)/2))^(1/(2040-2035))</f>
        <v>7.0751086599877722E-2</v>
      </c>
      <c r="Q4" s="19">
        <f>1-(((Readme!$E16+Readme!$E22)/2)/((Readme!$D16+Readme!$D22)/2))^(1/(2040-2035))</f>
        <v>7.0751086599877722E-2</v>
      </c>
      <c r="R4" s="19">
        <f>1-(((Readme!$E16+Readme!$E22)/2)/((Readme!$D16+Readme!$D22)/2))^(1/(2040-2035))</f>
        <v>7.0751086599877722E-2</v>
      </c>
      <c r="S4" s="19">
        <f>1-(((Readme!$E16+Readme!$E22)/2)/((Readme!$D16+Readme!$D22)/2))^(1/(2040-2035))</f>
        <v>7.0751086599877722E-2</v>
      </c>
      <c r="T4" s="19">
        <f>1-(((Readme!$E16+Readme!$E22)/2)/((Readme!$D16+Readme!$D22)/2))^(1/(2040-2035))</f>
        <v>7.0751086599877722E-2</v>
      </c>
      <c r="U4" s="19">
        <f>1-(((Readme!$F16+Readme!$F22)/2)/((Readme!$E16+Readme!$E22)/2))^(1/(2050-2040))</f>
        <v>5.2215188084441144E-2</v>
      </c>
      <c r="V4" s="19">
        <f>1-(((Readme!$F16+Readme!$F22)/2)/((Readme!$E16+Readme!$E22)/2))^(1/(2050-2040))</f>
        <v>5.2215188084441144E-2</v>
      </c>
      <c r="W4" s="19">
        <f>1-(((Readme!$F16+Readme!$F22)/2)/((Readme!$E16+Readme!$E22)/2))^(1/(2050-2040))</f>
        <v>5.2215188084441144E-2</v>
      </c>
      <c r="X4" s="19">
        <f>1-(((Readme!$F16+Readme!$F22)/2)/((Readme!$E16+Readme!$E22)/2))^(1/(2050-2040))</f>
        <v>5.2215188084441144E-2</v>
      </c>
      <c r="Y4" s="19">
        <f>1-(((Readme!$F16+Readme!$F22)/2)/((Readme!$E16+Readme!$E22)/2))^(1/(2050-2040))</f>
        <v>5.2215188084441144E-2</v>
      </c>
      <c r="Z4" s="19">
        <f>1-(((Readme!$F16+Readme!$F22)/2)/((Readme!$E16+Readme!$E22)/2))^(1/(2050-2040))</f>
        <v>5.2215188084441144E-2</v>
      </c>
      <c r="AA4" s="19">
        <f>1-(((Readme!$F16+Readme!$F22)/2)/((Readme!$E16+Readme!$E22)/2))^(1/(2050-2040))</f>
        <v>5.2215188084441144E-2</v>
      </c>
      <c r="AB4" s="19">
        <f>1-(((Readme!$F16+Readme!$F22)/2)/((Readme!$E16+Readme!$E22)/2))^(1/(2050-2040))</f>
        <v>5.2215188084441144E-2</v>
      </c>
      <c r="AC4" s="19">
        <f>1-(((Readme!$F16+Readme!$F22)/2)/((Readme!$E16+Readme!$E22)/2))^(1/(2050-2040))</f>
        <v>5.2215188084441144E-2</v>
      </c>
      <c r="AD4" s="19">
        <f>1-(((Readme!$F16+Readme!$F22)/2)/((Readme!$E16+Readme!$E22)/2))^(1/(2050-2040))</f>
        <v>5.2215188084441144E-2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Combine_EmissionTrend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Xizhe Yan</dc:creator>
  <cp:lastModifiedBy>Xizhe Yan</cp:lastModifiedBy>
  <dcterms:created xsi:type="dcterms:W3CDTF">2015-06-05T18:19:34Z</dcterms:created>
  <dcterms:modified xsi:type="dcterms:W3CDTF">2026-05-13T14:20:11Z</dcterms:modified>
</cp:coreProperties>
</file>